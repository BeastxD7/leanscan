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Reviews" sheetId="2" state="visible" r:id="rId4"/>
    <sheet name="Pattern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<sst xmlns="http://schemas.openxmlformats.org/spreadsheetml/2006/main" count="200" uniqueCount="124">
  <si>
    <t xml:space="preserve">LeanScan — Review Mining Workbook</t>
  </si>
  <si>
    <t xml:space="preserve">Days 3–4 of the 14-day validation plan. Goal: find 100+ real complaints from GLP-1 users about existing trackers.</t>
  </si>
  <si>
    <t xml:space="preserve">How to use this workbook</t>
  </si>
  <si>
    <t xml:space="preserve">1. Open the 'Reviews' sheet. The first 25 rows are seeded with paraphrased COMPLAINT PATTERNS — not real quotes.</t>
  </si>
  <si>
    <t xml:space="preserve">2. Your job: for each pattern, find at least 2–3 REAL quotes from App Store, Google Play, Reddit, or Trustpilot.</t>
  </si>
  <si>
    <t xml:space="preserve">3. Paste the verbatim quote into the 'Exact Quote' column. Leave the seeded pattern row in place as the category header.</t>
  </si>
  <si>
    <t xml:space="preserve">4. Fill in: App, Source, Review Date, Rating, GLP-1 Drug, Severity, Use-In-Marketing.</t>
  </si>
  <si>
    <t xml:space="preserve">5. Aim for 100+ total filled rows by end of day 4.</t>
  </si>
  <si>
    <t xml:space="preserve">Where to mine</t>
  </si>
  <si>
    <t xml:space="preserve">App Store reviews — search 'MyFitnessPal', 'Cal AI', 'Lose It', filter to 1–3 star, sort recent. Use cmd-F for 'ozempic', 'wegovy', 'mounjaro', 'zepbound', 'glp', 'protein'.</t>
  </si>
  <si>
    <t xml:space="preserve">Google Play reviews — same apps, same filter. Often has different demographics than App Store.</t>
  </si>
  <si>
    <t xml:space="preserve">Reddit — r/Ozempic, r/WegovyWeightLoss, r/Mounjaro, r/Zepbound, r/Semaglutide. Search 'myfitnesspal', 'tracker', 'app'.</t>
  </si>
  <si>
    <t xml:space="preserve">Trustpilot — search 'MyFitnessPal'. Lots of complaints about price hike + acquisition.</t>
  </si>
  <si>
    <t xml:space="preserve">Facebook groups — Ozempic/Wegovy/Mounjaro support groups. Search same terms. (Don't quote without permission for marketing.)</t>
  </si>
  <si>
    <t xml:space="preserve">Severity scoring (1–5)</t>
  </si>
  <si>
    <t xml:space="preserve">5 — Deal-breaker (user uninstalled, churned to no tracker, or named a problem we can directly solve)</t>
  </si>
  <si>
    <t xml:space="preserve">4 — Major frustration but still using the app</t>
  </si>
  <si>
    <t xml:space="preserve">3 — Mild annoyance, mentioned in passing</t>
  </si>
  <si>
    <t xml:space="preserve">2 — Feature wish, not a complaint</t>
  </si>
  <si>
    <t xml:space="preserve">1 — Off-topic but useful context</t>
  </si>
  <si>
    <t xml:space="preserve">Use-In-Marketing column</t>
  </si>
  <si>
    <t xml:space="preserve">Yes — quote is short, vivid, anonymizable, and on-message. Reuse in TikTok captions, Reddit posts, landing page testimonials section.</t>
  </si>
  <si>
    <t xml:space="preserve">No — too long, identifying, or off-message.</t>
  </si>
  <si>
    <t xml:space="preserve">Maybe — needs rewording or permission.</t>
  </si>
  <si>
    <t xml:space="preserve">Output of this exercise</t>
  </si>
  <si>
    <t xml:space="preserve">By end of day 4 you should be able to answer: What are the top 5 complaints? Which are most quotable? Which directly map to LeanScan features?</t>
  </si>
  <si>
    <t xml:space="preserve">Use the 'Patterns Summary' sheet to roll up counts by complaint pattern.</t>
  </si>
  <si>
    <t xml:space="preserve">#</t>
  </si>
  <si>
    <t xml:space="preserve">Date Logged</t>
  </si>
  <si>
    <t xml:space="preserve">App</t>
  </si>
  <si>
    <t xml:space="preserve">Source</t>
  </si>
  <si>
    <t xml:space="preserve">Review Date</t>
  </si>
  <si>
    <t xml:space="preserve">Rating (1-5)</t>
  </si>
  <si>
    <t xml:space="preserve">GLP-1 Drug</t>
  </si>
  <si>
    <t xml:space="preserve">Complaint Pattern</t>
  </si>
  <si>
    <t xml:space="preserve">Exact Quote (verbatim)</t>
  </si>
  <si>
    <t xml:space="preserve">Maps To LeanScan Feature</t>
  </si>
  <si>
    <t xml:space="preserve">Severity (1-5)</t>
  </si>
  <si>
    <t xml:space="preserve">Use In Marketing</t>
  </si>
  <si>
    <t xml:space="preserve">Notes</t>
  </si>
  <si>
    <t xml:space="preserve">Calorie target way too low on GLP-1</t>
  </si>
  <si>
    <t xml:space="preserve">[PATTERN — paste real quote here]</t>
  </si>
  <si>
    <t xml:space="preserve">Protein-first dashboard replaces calorie focus</t>
  </si>
  <si>
    <t xml:space="preserve">Most cited complaint. App keeps insisting user eat 1400+ kcal when they physically can't.</t>
  </si>
  <si>
    <t xml:space="preserve">Protein number buried, hard to see at a glance</t>
  </si>
  <si>
    <t xml:space="preserve">Protein ring as primary home-screen widget</t>
  </si>
  <si>
    <t xml:space="preserve">Sarah persona's top frustration.</t>
  </si>
  <si>
    <t xml:space="preserve">Photo recognition wildly off for home-cooked meals</t>
  </si>
  <si>
    <t xml:space="preserve">GPT-4o vision + protein-first estimation logic</t>
  </si>
  <si>
    <t xml:space="preserve">Cal AI specifically — often guesses wrong cuisine.</t>
  </si>
  <si>
    <t xml:space="preserve">No way to log nausea / GI side effects alongside food</t>
  </si>
  <si>
    <t xml:space="preserve">Side-effect quick-log (nausea, GI, fatigue, sulfur burps)</t>
  </si>
  <si>
    <t xml:space="preserve">Unique LeanScan wedge.</t>
  </si>
  <si>
    <t xml:space="preserve">Search is slow / database too big / wrong portion sizes</t>
  </si>
  <si>
    <t xml:space="preserve">AI photo logging skips search entirely</t>
  </si>
  <si>
    <t xml:space="preserve">Universal MyFitnessPal complaint.</t>
  </si>
  <si>
    <t xml:space="preserve">App pushes diet-culture messaging that feels triggering</t>
  </si>
  <si>
    <t xml:space="preserve">Editorial, anti-shame voice on every screen</t>
  </si>
  <si>
    <t xml:space="preserve">Important for brand fit.</t>
  </si>
  <si>
    <t xml:space="preserve">Premium paywall got worse / price hiked / barcode locked</t>
  </si>
  <si>
    <t xml:space="preserve">$49/yr founder pricing, AI scan included from day 1</t>
  </si>
  <si>
    <t xml:space="preserve">Trustpilot is full of these post-March 2026 acquisition.</t>
  </si>
  <si>
    <t xml:space="preserve">No support for muscle/lean-mass goals — only weight loss</t>
  </si>
  <si>
    <t xml:space="preserve">Lean-mass-first framing in onboarding and reports</t>
  </si>
  <si>
    <t xml:space="preserve">Direct positioning win.</t>
  </si>
  <si>
    <t xml:space="preserve">Resistance training tracking is non-existent or terrible</t>
  </si>
  <si>
    <t xml:space="preserve">Simple sets × reps × weight log integrated with protein</t>
  </si>
  <si>
    <t xml:space="preserve">Mark persona pain.</t>
  </si>
  <si>
    <t xml:space="preserve">Logging takes too long when appetite is gone</t>
  </si>
  <si>
    <t xml:space="preserve">Three-tap snap-and-go workflow</t>
  </si>
  <si>
    <t xml:space="preserve">Day-of-week-3 GLP-1 user reality.</t>
  </si>
  <si>
    <t xml:space="preserve">Weekly summary emails are spammy / not insightful</t>
  </si>
  <si>
    <t xml:space="preserve">Editorial weekly metabolic report (PDF)</t>
  </si>
  <si>
    <t xml:space="preserve">No way to log medication dose or injection day</t>
  </si>
  <si>
    <t xml:space="preserve">Onboarding asks for drug + dose + start date</t>
  </si>
  <si>
    <t xml:space="preserve">Mid-priority. Often request, occasionally complaint.</t>
  </si>
  <si>
    <t xml:space="preserve">Doesn't account for protein quality / complete proteins</t>
  </si>
  <si>
    <t xml:space="preserve">Protein-source labeling in v1.5+</t>
  </si>
  <si>
    <t xml:space="preserve">Niche request. Park for later.</t>
  </si>
  <si>
    <t xml:space="preserve">Sulfur burps / weird side effects not in any tracker</t>
  </si>
  <si>
    <t xml:space="preserve">Side-effect quick-log includes sulfur burps explicitly</t>
  </si>
  <si>
    <t xml:space="preserve">Surprisingly common in r/Ozempic.</t>
  </si>
  <si>
    <t xml:space="preserve">Hydration tracking is hidden / disconnected from food log</t>
  </si>
  <si>
    <t xml:space="preserve">Optional hydration ring next to protein</t>
  </si>
  <si>
    <t xml:space="preserve">Defer to v2 unless heavy demand.</t>
  </si>
  <si>
    <t xml:space="preserve">App suggests recipes that don't fit GLP-1 stomach</t>
  </si>
  <si>
    <t xml:space="preserve">No recipes in v1; meal templates by protein density in v2</t>
  </si>
  <si>
    <t xml:space="preserve">Maintenance phase (coming off drug) has no support</t>
  </si>
  <si>
    <t xml:space="preserve">Maintenance-phase mode in v2 (advertised on landing)</t>
  </si>
  <si>
    <t xml:space="preserve">Massive underserved segment.</t>
  </si>
  <si>
    <t xml:space="preserve">Calorie deficit recommendations make me lose muscle faster</t>
  </si>
  <si>
    <t xml:space="preserve">Protein floor calculated from bodyweight, not deficit</t>
  </si>
  <si>
    <t xml:space="preserve">Use this exact framing in TikTok.</t>
  </si>
  <si>
    <t xml:space="preserve">Insurance / pharmacy can't see my food data — wish my doctor could</t>
  </si>
  <si>
    <t xml:space="preserve">Optional weekly PDF user can email to their provider</t>
  </si>
  <si>
    <t xml:space="preserve">Don't promise integrations. Just PDF export.</t>
  </si>
  <si>
    <t xml:space="preserve">Cluttered UI / too many tabs / overwhelming</t>
  </si>
  <si>
    <t xml:space="preserve">Single dashboard, no tabs, no navigation drawer</t>
  </si>
  <si>
    <t xml:space="preserve">Universal complaint about MyFitnessPal.</t>
  </si>
  <si>
    <t xml:space="preserve">Login / account issues after recent updates</t>
  </si>
  <si>
    <t xml:space="preserve">Magic-link login, no password</t>
  </si>
  <si>
    <t xml:space="preserve">Lots of these post-acquisition.</t>
  </si>
  <si>
    <t xml:space="preserve">Sync issues between phone and watch</t>
  </si>
  <si>
    <t xml:space="preserve">iOS only at launch, no watch sync until v2</t>
  </si>
  <si>
    <t xml:space="preserve">Set expectations clearly.</t>
  </si>
  <si>
    <t xml:space="preserve">Wants encouragement, not shame, when missing target</t>
  </si>
  <si>
    <t xml:space="preserve">Tone: 'three meals left to hit your floor', never 'you went over'</t>
  </si>
  <si>
    <t xml:space="preserve">Brand voice.</t>
  </si>
  <si>
    <t xml:space="preserve">Generic protein recommendation (50g) too low for GLP-1</t>
  </si>
  <si>
    <t xml:space="preserve">Default to 1.2g/kg bodyweight (~100–130g typical)</t>
  </si>
  <si>
    <t xml:space="preserve">Educational opportunity.</t>
  </si>
  <si>
    <t xml:space="preserve">Wishes app would just understand the user is on Ozempic</t>
  </si>
  <si>
    <t xml:space="preserve">Onboarding asks drug, then tailors every default</t>
  </si>
  <si>
    <t xml:space="preserve">This is the entire pitch. Front and center.</t>
  </si>
  <si>
    <t xml:space="preserve">Roll-Up: Complaints by Pattern</t>
  </si>
  <si>
    <t xml:space="preserve">Auto-counts how many reviews you've logged per pattern. Updates as you fill the Reviews sheet.</t>
  </si>
  <si>
    <t xml:space="preserve">Count Logged</t>
  </si>
  <si>
    <t xml:space="preserve">Avg Severity</t>
  </si>
  <si>
    <t xml:space="preserve">Maps To Feature</t>
  </si>
  <si>
    <t xml:space="preserve">TOTAL REVIEWS LOGGED</t>
  </si>
  <si>
    <t xml:space="preserve">Validation thresholds (from context doc § 8)</t>
  </si>
  <si>
    <t xml:space="preserve">Day-4 target: 100+ reviews logged across all patterns.</t>
  </si>
  <si>
    <t xml:space="preserve">Top-3 patterns by count → use as primary copy hooks on landing page and TikTok.</t>
  </si>
  <si>
    <t xml:space="preserve">Any pattern with &lt;3 reviews after thorough search → de-prioritize for v1.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</si>
</sst>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A2E"/>
      <name val="Arial"/>
      <family val="0"/>
      <charset val="1"/>
    </font>
    <font>
      <i val="true"/>
      <sz val="11"/>
      <color rgb="FF6B6B6B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A3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2E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A3A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 t="s">
        <v>19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24</v>
      </c>
    </row>
    <row r="32" customFormat="false" ht="23.8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60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32"/>
  </cols>
  <sheetData>
    <row r="1" customFormat="false" ht="31.5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</row>
    <row r="2" customFormat="false" ht="32.8" hidden="false" customHeight="false" outlineLevel="0" collapsed="false">
      <c r="A2" s="6" t="n">
        <v>1</v>
      </c>
      <c r="B2" s="7"/>
      <c r="C2" s="7"/>
      <c r="D2" s="7"/>
      <c r="E2" s="7"/>
      <c r="F2" s="7"/>
      <c r="G2" s="7"/>
      <c r="H2" s="8" t="s">
        <v>40</v>
      </c>
      <c r="I2" s="9" t="s">
        <v>41</v>
      </c>
      <c r="J2" s="6" t="s">
        <v>42</v>
      </c>
      <c r="K2" s="6" t="n">
        <v>5</v>
      </c>
      <c r="L2" s="7"/>
      <c r="M2" s="10" t="s">
        <v>43</v>
      </c>
    </row>
    <row r="3" customFormat="false" ht="23.85" hidden="false" customHeight="false" outlineLevel="0" collapsed="false">
      <c r="A3" s="6" t="n">
        <v>2</v>
      </c>
      <c r="B3" s="7"/>
      <c r="C3" s="7"/>
      <c r="D3" s="7"/>
      <c r="E3" s="7"/>
      <c r="F3" s="7"/>
      <c r="G3" s="7"/>
      <c r="H3" s="8" t="s">
        <v>44</v>
      </c>
      <c r="I3" s="9" t="s">
        <v>41</v>
      </c>
      <c r="J3" s="6" t="s">
        <v>45</v>
      </c>
      <c r="K3" s="6" t="n">
        <v>5</v>
      </c>
      <c r="L3" s="7"/>
      <c r="M3" s="10" t="s">
        <v>46</v>
      </c>
    </row>
    <row r="4" customFormat="false" ht="23.85" hidden="false" customHeight="false" outlineLevel="0" collapsed="false">
      <c r="A4" s="6" t="n">
        <v>3</v>
      </c>
      <c r="B4" s="7"/>
      <c r="C4" s="7"/>
      <c r="D4" s="7"/>
      <c r="E4" s="7"/>
      <c r="F4" s="7"/>
      <c r="G4" s="7"/>
      <c r="H4" s="8" t="s">
        <v>47</v>
      </c>
      <c r="I4" s="9" t="s">
        <v>41</v>
      </c>
      <c r="J4" s="6" t="s">
        <v>48</v>
      </c>
      <c r="K4" s="6" t="n">
        <v>4</v>
      </c>
      <c r="L4" s="7"/>
      <c r="M4" s="10" t="s">
        <v>49</v>
      </c>
    </row>
    <row r="5" customFormat="false" ht="23.85" hidden="false" customHeight="false" outlineLevel="0" collapsed="false">
      <c r="A5" s="6" t="n">
        <v>4</v>
      </c>
      <c r="B5" s="7"/>
      <c r="C5" s="7"/>
      <c r="D5" s="7"/>
      <c r="E5" s="7"/>
      <c r="F5" s="7"/>
      <c r="G5" s="7"/>
      <c r="H5" s="8" t="s">
        <v>50</v>
      </c>
      <c r="I5" s="9" t="s">
        <v>41</v>
      </c>
      <c r="J5" s="6" t="s">
        <v>51</v>
      </c>
      <c r="K5" s="6" t="n">
        <v>5</v>
      </c>
      <c r="L5" s="7"/>
      <c r="M5" s="10" t="s">
        <v>52</v>
      </c>
    </row>
    <row r="6" customFormat="false" ht="23.85" hidden="false" customHeight="false" outlineLevel="0" collapsed="false">
      <c r="A6" s="6" t="n">
        <v>5</v>
      </c>
      <c r="B6" s="7"/>
      <c r="C6" s="7"/>
      <c r="D6" s="7"/>
      <c r="E6" s="7"/>
      <c r="F6" s="7"/>
      <c r="G6" s="7"/>
      <c r="H6" s="8" t="s">
        <v>53</v>
      </c>
      <c r="I6" s="9" t="s">
        <v>41</v>
      </c>
      <c r="J6" s="6" t="s">
        <v>54</v>
      </c>
      <c r="K6" s="6" t="n">
        <v>4</v>
      </c>
      <c r="L6" s="7"/>
      <c r="M6" s="10" t="s">
        <v>55</v>
      </c>
    </row>
    <row r="7" customFormat="false" ht="23.85" hidden="false" customHeight="false" outlineLevel="0" collapsed="false">
      <c r="A7" s="6" t="n">
        <v>6</v>
      </c>
      <c r="B7" s="7"/>
      <c r="C7" s="7"/>
      <c r="D7" s="7"/>
      <c r="E7" s="7"/>
      <c r="F7" s="7"/>
      <c r="G7" s="7"/>
      <c r="H7" s="8" t="s">
        <v>56</v>
      </c>
      <c r="I7" s="9" t="s">
        <v>41</v>
      </c>
      <c r="J7" s="6" t="s">
        <v>57</v>
      </c>
      <c r="K7" s="6" t="n">
        <v>4</v>
      </c>
      <c r="L7" s="7"/>
      <c r="M7" s="10" t="s">
        <v>58</v>
      </c>
    </row>
    <row r="8" customFormat="false" ht="23.85" hidden="false" customHeight="false" outlineLevel="0" collapsed="false">
      <c r="A8" s="6" t="n">
        <v>7</v>
      </c>
      <c r="B8" s="7"/>
      <c r="C8" s="7"/>
      <c r="D8" s="7"/>
      <c r="E8" s="7"/>
      <c r="F8" s="7"/>
      <c r="G8" s="7"/>
      <c r="H8" s="8" t="s">
        <v>59</v>
      </c>
      <c r="I8" s="9" t="s">
        <v>41</v>
      </c>
      <c r="J8" s="6" t="s">
        <v>60</v>
      </c>
      <c r="K8" s="6" t="n">
        <v>5</v>
      </c>
      <c r="L8" s="7"/>
      <c r="M8" s="10" t="s">
        <v>61</v>
      </c>
    </row>
    <row r="9" customFormat="false" ht="23.85" hidden="false" customHeight="false" outlineLevel="0" collapsed="false">
      <c r="A9" s="6" t="n">
        <v>8</v>
      </c>
      <c r="B9" s="7"/>
      <c r="C9" s="7"/>
      <c r="D9" s="7"/>
      <c r="E9" s="7"/>
      <c r="F9" s="7"/>
      <c r="G9" s="7"/>
      <c r="H9" s="8" t="s">
        <v>62</v>
      </c>
      <c r="I9" s="9" t="s">
        <v>41</v>
      </c>
      <c r="J9" s="6" t="s">
        <v>63</v>
      </c>
      <c r="K9" s="6" t="n">
        <v>5</v>
      </c>
      <c r="L9" s="7"/>
      <c r="M9" s="10" t="s">
        <v>64</v>
      </c>
    </row>
    <row r="10" customFormat="false" ht="23.85" hidden="false" customHeight="false" outlineLevel="0" collapsed="false">
      <c r="A10" s="6" t="n">
        <v>9</v>
      </c>
      <c r="B10" s="7"/>
      <c r="C10" s="7"/>
      <c r="D10" s="7"/>
      <c r="E10" s="7"/>
      <c r="F10" s="7"/>
      <c r="G10" s="7"/>
      <c r="H10" s="8" t="s">
        <v>65</v>
      </c>
      <c r="I10" s="9" t="s">
        <v>41</v>
      </c>
      <c r="J10" s="6" t="s">
        <v>66</v>
      </c>
      <c r="K10" s="6" t="n">
        <v>4</v>
      </c>
      <c r="L10" s="7"/>
      <c r="M10" s="10" t="s">
        <v>67</v>
      </c>
    </row>
    <row r="11" customFormat="false" ht="23.85" hidden="false" customHeight="false" outlineLevel="0" collapsed="false">
      <c r="A11" s="6" t="n">
        <v>10</v>
      </c>
      <c r="B11" s="7"/>
      <c r="C11" s="7"/>
      <c r="D11" s="7"/>
      <c r="E11" s="7"/>
      <c r="F11" s="7"/>
      <c r="G11" s="7"/>
      <c r="H11" s="8" t="s">
        <v>68</v>
      </c>
      <c r="I11" s="9" t="s">
        <v>41</v>
      </c>
      <c r="J11" s="6" t="s">
        <v>69</v>
      </c>
      <c r="K11" s="6" t="n">
        <v>5</v>
      </c>
      <c r="L11" s="7"/>
      <c r="M11" s="10" t="s">
        <v>70</v>
      </c>
    </row>
    <row r="12" customFormat="false" ht="23.85" hidden="false" customHeight="false" outlineLevel="0" collapsed="false">
      <c r="A12" s="6" t="n">
        <v>11</v>
      </c>
      <c r="B12" s="7"/>
      <c r="C12" s="7"/>
      <c r="D12" s="7"/>
      <c r="E12" s="7"/>
      <c r="F12" s="7"/>
      <c r="G12" s="7"/>
      <c r="H12" s="8" t="s">
        <v>71</v>
      </c>
      <c r="I12" s="9" t="s">
        <v>41</v>
      </c>
      <c r="J12" s="6" t="s">
        <v>72</v>
      </c>
      <c r="K12" s="6" t="n">
        <v>3</v>
      </c>
      <c r="L12" s="7"/>
      <c r="M12" s="10"/>
    </row>
    <row r="13" customFormat="false" ht="23.85" hidden="false" customHeight="false" outlineLevel="0" collapsed="false">
      <c r="A13" s="6" t="n">
        <v>12</v>
      </c>
      <c r="B13" s="7"/>
      <c r="C13" s="7"/>
      <c r="D13" s="7"/>
      <c r="E13" s="7"/>
      <c r="F13" s="7"/>
      <c r="G13" s="7"/>
      <c r="H13" s="8" t="s">
        <v>73</v>
      </c>
      <c r="I13" s="9" t="s">
        <v>41</v>
      </c>
      <c r="J13" s="6" t="s">
        <v>74</v>
      </c>
      <c r="K13" s="6" t="n">
        <v>3</v>
      </c>
      <c r="L13" s="7"/>
      <c r="M13" s="10" t="s">
        <v>75</v>
      </c>
    </row>
    <row r="14" customFormat="false" ht="23.85" hidden="false" customHeight="false" outlineLevel="0" collapsed="false">
      <c r="A14" s="6" t="n">
        <v>13</v>
      </c>
      <c r="B14" s="7"/>
      <c r="C14" s="7"/>
      <c r="D14" s="7"/>
      <c r="E14" s="7"/>
      <c r="F14" s="7"/>
      <c r="G14" s="7"/>
      <c r="H14" s="8" t="s">
        <v>76</v>
      </c>
      <c r="I14" s="9" t="s">
        <v>41</v>
      </c>
      <c r="J14" s="6" t="s">
        <v>77</v>
      </c>
      <c r="K14" s="6" t="n">
        <v>2</v>
      </c>
      <c r="L14" s="7"/>
      <c r="M14" s="10" t="s">
        <v>78</v>
      </c>
    </row>
    <row r="15" customFormat="false" ht="23.85" hidden="false" customHeight="false" outlineLevel="0" collapsed="false">
      <c r="A15" s="6" t="n">
        <v>14</v>
      </c>
      <c r="B15" s="7"/>
      <c r="C15" s="7"/>
      <c r="D15" s="7"/>
      <c r="E15" s="7"/>
      <c r="F15" s="7"/>
      <c r="G15" s="7"/>
      <c r="H15" s="8" t="s">
        <v>79</v>
      </c>
      <c r="I15" s="9" t="s">
        <v>41</v>
      </c>
      <c r="J15" s="6" t="s">
        <v>80</v>
      </c>
      <c r="K15" s="6" t="n">
        <v>4</v>
      </c>
      <c r="L15" s="7"/>
      <c r="M15" s="10" t="s">
        <v>81</v>
      </c>
    </row>
    <row r="16" customFormat="false" ht="23.85" hidden="false" customHeight="false" outlineLevel="0" collapsed="false">
      <c r="A16" s="6" t="n">
        <v>15</v>
      </c>
      <c r="B16" s="7"/>
      <c r="C16" s="7"/>
      <c r="D16" s="7"/>
      <c r="E16" s="7"/>
      <c r="F16" s="7"/>
      <c r="G16" s="7"/>
      <c r="H16" s="8" t="s">
        <v>82</v>
      </c>
      <c r="I16" s="9" t="s">
        <v>41</v>
      </c>
      <c r="J16" s="6" t="s">
        <v>83</v>
      </c>
      <c r="K16" s="6" t="n">
        <v>3</v>
      </c>
      <c r="L16" s="7"/>
      <c r="M16" s="10" t="s">
        <v>84</v>
      </c>
    </row>
    <row r="17" customFormat="false" ht="23.85" hidden="false" customHeight="false" outlineLevel="0" collapsed="false">
      <c r="A17" s="6" t="n">
        <v>16</v>
      </c>
      <c r="B17" s="7"/>
      <c r="C17" s="7"/>
      <c r="D17" s="7"/>
      <c r="E17" s="7"/>
      <c r="F17" s="7"/>
      <c r="G17" s="7"/>
      <c r="H17" s="8" t="s">
        <v>85</v>
      </c>
      <c r="I17" s="9" t="s">
        <v>41</v>
      </c>
      <c r="J17" s="6" t="s">
        <v>86</v>
      </c>
      <c r="K17" s="6" t="n">
        <v>3</v>
      </c>
      <c r="L17" s="7"/>
      <c r="M17" s="10"/>
    </row>
    <row r="18" customFormat="false" ht="23.85" hidden="false" customHeight="false" outlineLevel="0" collapsed="false">
      <c r="A18" s="6" t="n">
        <v>17</v>
      </c>
      <c r="B18" s="7"/>
      <c r="C18" s="7"/>
      <c r="D18" s="7"/>
      <c r="E18" s="7"/>
      <c r="F18" s="7"/>
      <c r="G18" s="7"/>
      <c r="H18" s="8" t="s">
        <v>87</v>
      </c>
      <c r="I18" s="9" t="s">
        <v>41</v>
      </c>
      <c r="J18" s="6" t="s">
        <v>88</v>
      </c>
      <c r="K18" s="6" t="n">
        <v>5</v>
      </c>
      <c r="L18" s="7"/>
      <c r="M18" s="10" t="s">
        <v>89</v>
      </c>
    </row>
    <row r="19" customFormat="false" ht="23.85" hidden="false" customHeight="false" outlineLevel="0" collapsed="false">
      <c r="A19" s="6" t="n">
        <v>18</v>
      </c>
      <c r="B19" s="7"/>
      <c r="C19" s="7"/>
      <c r="D19" s="7"/>
      <c r="E19" s="7"/>
      <c r="F19" s="7"/>
      <c r="G19" s="7"/>
      <c r="H19" s="8" t="s">
        <v>90</v>
      </c>
      <c r="I19" s="9" t="s">
        <v>41</v>
      </c>
      <c r="J19" s="6" t="s">
        <v>91</v>
      </c>
      <c r="K19" s="6" t="n">
        <v>5</v>
      </c>
      <c r="L19" s="7"/>
      <c r="M19" s="10" t="s">
        <v>92</v>
      </c>
    </row>
    <row r="20" customFormat="false" ht="23.85" hidden="false" customHeight="false" outlineLevel="0" collapsed="false">
      <c r="A20" s="6" t="n">
        <v>19</v>
      </c>
      <c r="B20" s="7"/>
      <c r="C20" s="7"/>
      <c r="D20" s="7"/>
      <c r="E20" s="7"/>
      <c r="F20" s="7"/>
      <c r="G20" s="7"/>
      <c r="H20" s="8" t="s">
        <v>93</v>
      </c>
      <c r="I20" s="9" t="s">
        <v>41</v>
      </c>
      <c r="J20" s="6" t="s">
        <v>94</v>
      </c>
      <c r="K20" s="6" t="n">
        <v>4</v>
      </c>
      <c r="L20" s="7"/>
      <c r="M20" s="10" t="s">
        <v>95</v>
      </c>
    </row>
    <row r="21" customFormat="false" ht="23.85" hidden="false" customHeight="false" outlineLevel="0" collapsed="false">
      <c r="A21" s="6" t="n">
        <v>20</v>
      </c>
      <c r="B21" s="7"/>
      <c r="C21" s="7"/>
      <c r="D21" s="7"/>
      <c r="E21" s="7"/>
      <c r="F21" s="7"/>
      <c r="G21" s="7"/>
      <c r="H21" s="8" t="s">
        <v>96</v>
      </c>
      <c r="I21" s="9" t="s">
        <v>41</v>
      </c>
      <c r="J21" s="6" t="s">
        <v>97</v>
      </c>
      <c r="K21" s="6" t="n">
        <v>4</v>
      </c>
      <c r="L21" s="7"/>
      <c r="M21" s="10" t="s">
        <v>98</v>
      </c>
    </row>
    <row r="22" customFormat="false" ht="23.85" hidden="false" customHeight="false" outlineLevel="0" collapsed="false">
      <c r="A22" s="6" t="n">
        <v>21</v>
      </c>
      <c r="B22" s="7"/>
      <c r="C22" s="7"/>
      <c r="D22" s="7"/>
      <c r="E22" s="7"/>
      <c r="F22" s="7"/>
      <c r="G22" s="7"/>
      <c r="H22" s="8" t="s">
        <v>99</v>
      </c>
      <c r="I22" s="9" t="s">
        <v>41</v>
      </c>
      <c r="J22" s="6" t="s">
        <v>100</v>
      </c>
      <c r="K22" s="6" t="n">
        <v>3</v>
      </c>
      <c r="L22" s="7"/>
      <c r="M22" s="10" t="s">
        <v>101</v>
      </c>
    </row>
    <row r="23" customFormat="false" ht="23.85" hidden="false" customHeight="false" outlineLevel="0" collapsed="false">
      <c r="A23" s="6" t="n">
        <v>22</v>
      </c>
      <c r="B23" s="7"/>
      <c r="C23" s="7"/>
      <c r="D23" s="7"/>
      <c r="E23" s="7"/>
      <c r="F23" s="7"/>
      <c r="G23" s="7"/>
      <c r="H23" s="8" t="s">
        <v>102</v>
      </c>
      <c r="I23" s="9" t="s">
        <v>41</v>
      </c>
      <c r="J23" s="6" t="s">
        <v>103</v>
      </c>
      <c r="K23" s="6" t="n">
        <v>3</v>
      </c>
      <c r="L23" s="7"/>
      <c r="M23" s="10" t="s">
        <v>104</v>
      </c>
    </row>
    <row r="24" customFormat="false" ht="23.85" hidden="false" customHeight="false" outlineLevel="0" collapsed="false">
      <c r="A24" s="6" t="n">
        <v>23</v>
      </c>
      <c r="B24" s="7"/>
      <c r="C24" s="7"/>
      <c r="D24" s="7"/>
      <c r="E24" s="7"/>
      <c r="F24" s="7"/>
      <c r="G24" s="7"/>
      <c r="H24" s="8" t="s">
        <v>105</v>
      </c>
      <c r="I24" s="9" t="s">
        <v>41</v>
      </c>
      <c r="J24" s="6" t="s">
        <v>106</v>
      </c>
      <c r="K24" s="6" t="n">
        <v>4</v>
      </c>
      <c r="L24" s="7"/>
      <c r="M24" s="10" t="s">
        <v>107</v>
      </c>
    </row>
    <row r="25" customFormat="false" ht="23.85" hidden="false" customHeight="false" outlineLevel="0" collapsed="false">
      <c r="A25" s="6" t="n">
        <v>24</v>
      </c>
      <c r="B25" s="7"/>
      <c r="C25" s="7"/>
      <c r="D25" s="7"/>
      <c r="E25" s="7"/>
      <c r="F25" s="7"/>
      <c r="G25" s="7"/>
      <c r="H25" s="8" t="s">
        <v>108</v>
      </c>
      <c r="I25" s="9" t="s">
        <v>41</v>
      </c>
      <c r="J25" s="6" t="s">
        <v>109</v>
      </c>
      <c r="K25" s="6" t="n">
        <v>5</v>
      </c>
      <c r="L25" s="7"/>
      <c r="M25" s="10" t="s">
        <v>110</v>
      </c>
    </row>
    <row r="26" customFormat="false" ht="23.85" hidden="false" customHeight="false" outlineLevel="0" collapsed="false">
      <c r="A26" s="6" t="n">
        <v>25</v>
      </c>
      <c r="B26" s="7"/>
      <c r="C26" s="7"/>
      <c r="D26" s="7"/>
      <c r="E26" s="7"/>
      <c r="F26" s="7"/>
      <c r="G26" s="7"/>
      <c r="H26" s="8" t="s">
        <v>111</v>
      </c>
      <c r="I26" s="9" t="s">
        <v>41</v>
      </c>
      <c r="J26" s="6" t="s">
        <v>112</v>
      </c>
      <c r="K26" s="6" t="n">
        <v>5</v>
      </c>
      <c r="L26" s="7"/>
      <c r="M26" s="10" t="s">
        <v>113</v>
      </c>
    </row>
    <row r="27" customFormat="false" ht="15" hidden="false" customHeight="false" outlineLevel="0" collapsed="false">
      <c r="A27" s="6" t="n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5" hidden="false" customHeight="false" outlineLevel="0" collapsed="false">
      <c r="A28" s="6" t="n"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5" hidden="false" customHeight="false" outlineLevel="0" collapsed="false">
      <c r="A29" s="6" t="n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5" hidden="false" customHeight="false" outlineLevel="0" collapsed="false">
      <c r="A30" s="6" t="n"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false" outlineLevel="0" collapsed="false">
      <c r="A31" s="6" t="n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false" outlineLevel="0" collapsed="false">
      <c r="A32" s="6" t="n"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false" outlineLevel="0" collapsed="false">
      <c r="A33" s="6" t="n"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5" hidden="false" customHeight="false" outlineLevel="0" collapsed="false">
      <c r="A34" s="6" t="n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5" hidden="false" customHeight="false" outlineLevel="0" collapsed="false">
      <c r="A35" s="6" t="n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5" hidden="false" customHeight="false" outlineLevel="0" collapsed="false">
      <c r="A36" s="6" t="n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5" hidden="false" customHeight="false" outlineLevel="0" collapsed="false">
      <c r="A37" s="6" t="n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15" hidden="false" customHeight="false" outlineLevel="0" collapsed="false">
      <c r="A38" s="6" t="n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15" hidden="false" customHeight="false" outlineLevel="0" collapsed="false">
      <c r="A39" s="6" t="n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15" hidden="false" customHeight="false" outlineLevel="0" collapsed="false">
      <c r="A40" s="6" t="n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15" hidden="false" customHeight="false" outlineLevel="0" collapsed="false">
      <c r="A41" s="6" t="n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15" hidden="false" customHeight="false" outlineLevel="0" collapsed="false">
      <c r="A42" s="6" t="n"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15" hidden="false" customHeight="false" outlineLevel="0" collapsed="false">
      <c r="A43" s="6" t="n"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customFormat="false" ht="15" hidden="false" customHeight="false" outlineLevel="0" collapsed="false">
      <c r="A44" s="6" t="n"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15" hidden="false" customHeight="false" outlineLevel="0" collapsed="false">
      <c r="A45" s="6" t="n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15" hidden="false" customHeight="false" outlineLevel="0" collapsed="false">
      <c r="A46" s="6" t="n">
        <v>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15" hidden="false" customHeight="false" outlineLevel="0" collapsed="false">
      <c r="A47" s="6" t="n"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customFormat="false" ht="15" hidden="false" customHeight="false" outlineLevel="0" collapsed="false">
      <c r="A48" s="6" t="n"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15" hidden="false" customHeight="false" outlineLevel="0" collapsed="false">
      <c r="A49" s="6" t="n"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15" hidden="false" customHeight="false" outlineLevel="0" collapsed="false">
      <c r="A50" s="6" t="n">
        <v>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15" hidden="false" customHeight="false" outlineLevel="0" collapsed="false">
      <c r="A51" s="6" t="n">
        <v>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customFormat="false" ht="15" hidden="false" customHeight="false" outlineLevel="0" collapsed="false">
      <c r="A52" s="6" t="n">
        <v>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15" hidden="false" customHeight="false" outlineLevel="0" collapsed="false">
      <c r="A53" s="6" t="n">
        <v>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15" hidden="false" customHeight="false" outlineLevel="0" collapsed="false">
      <c r="A54" s="6" t="n"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15" hidden="false" customHeight="false" outlineLevel="0" collapsed="false">
      <c r="A55" s="6" t="n"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customFormat="false" ht="15" hidden="false" customHeight="false" outlineLevel="0" collapsed="false">
      <c r="A56" s="6" t="n">
        <v>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15" hidden="false" customHeight="false" outlineLevel="0" collapsed="false">
      <c r="A57" s="6" t="n">
        <v>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customFormat="false" ht="15" hidden="false" customHeight="false" outlineLevel="0" collapsed="false">
      <c r="A58" s="6" t="n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15" hidden="false" customHeight="false" outlineLevel="0" collapsed="false">
      <c r="A59" s="6" t="n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customFormat="false" ht="15" hidden="false" customHeight="false" outlineLevel="0" collapsed="false">
      <c r="A60" s="6" t="n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5" hidden="false" customHeight="false" outlineLevel="0" collapsed="false">
      <c r="A61" s="6" t="n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customFormat="false" ht="15" hidden="false" customHeight="false" outlineLevel="0" collapsed="false">
      <c r="A62" s="6" t="n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15" hidden="false" customHeight="false" outlineLevel="0" collapsed="false">
      <c r="A63" s="6" t="n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5" hidden="false" customHeight="false" outlineLevel="0" collapsed="false">
      <c r="A64" s="6" t="n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customFormat="false" ht="15" hidden="false" customHeight="false" outlineLevel="0" collapsed="false">
      <c r="A65" s="6" t="n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customFormat="false" ht="15" hidden="false" customHeight="false" outlineLevel="0" collapsed="false">
      <c r="A66" s="6" t="n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customFormat="false" ht="15" hidden="false" customHeight="false" outlineLevel="0" collapsed="false">
      <c r="A67" s="6" t="n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customFormat="false" ht="15" hidden="false" customHeight="false" outlineLevel="0" collapsed="false">
      <c r="A68" s="6" t="n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customFormat="false" ht="15" hidden="false" customHeight="false" outlineLevel="0" collapsed="false">
      <c r="A69" s="6" t="n"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customFormat="false" ht="15" hidden="false" customHeight="false" outlineLevel="0" collapsed="false">
      <c r="A70" s="6" t="n"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15" hidden="false" customHeight="false" outlineLevel="0" collapsed="false">
      <c r="A71" s="6" t="n"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customFormat="false" ht="15" hidden="false" customHeight="false" outlineLevel="0" collapsed="false">
      <c r="A72" s="6" t="n">
        <v>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customFormat="false" ht="15" hidden="false" customHeight="false" outlineLevel="0" collapsed="false">
      <c r="A73" s="6" t="n">
        <v>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customFormat="false" ht="15" hidden="false" customHeight="false" outlineLevel="0" collapsed="false">
      <c r="A74" s="6" t="n"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customFormat="false" ht="15" hidden="false" customHeight="false" outlineLevel="0" collapsed="false">
      <c r="A75" s="6" t="n">
        <v>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5" hidden="false" customHeight="false" outlineLevel="0" collapsed="false">
      <c r="A76" s="6" t="n">
        <v>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customFormat="false" ht="15" hidden="false" customHeight="false" outlineLevel="0" collapsed="false">
      <c r="A77" s="6" t="n">
        <v>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customFormat="false" ht="15" hidden="false" customHeight="false" outlineLevel="0" collapsed="false">
      <c r="A78" s="6" t="n">
        <v>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customFormat="false" ht="15" hidden="false" customHeight="false" outlineLevel="0" collapsed="false">
      <c r="A79" s="6" t="n">
        <v>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5" hidden="false" customHeight="false" outlineLevel="0" collapsed="false">
      <c r="A80" s="6" t="n">
        <v>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customFormat="false" ht="15" hidden="false" customHeight="false" outlineLevel="0" collapsed="false">
      <c r="A81" s="6" t="n"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customFormat="false" ht="15" hidden="false" customHeight="false" outlineLevel="0" collapsed="false">
      <c r="A82" s="6" t="n"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customFormat="false" ht="15" hidden="false" customHeight="false" outlineLevel="0" collapsed="false">
      <c r="A83" s="6" t="n"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customFormat="false" ht="15" hidden="false" customHeight="false" outlineLevel="0" collapsed="false">
      <c r="A84" s="6" t="n">
        <v>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customFormat="false" ht="15" hidden="false" customHeight="false" outlineLevel="0" collapsed="false">
      <c r="A85" s="6" t="n">
        <v>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customFormat="false" ht="15" hidden="false" customHeight="false" outlineLevel="0" collapsed="false">
      <c r="A86" s="6" t="n">
        <v>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customFormat="false" ht="15" hidden="false" customHeight="false" outlineLevel="0" collapsed="false">
      <c r="A87" s="6" t="n">
        <v>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customFormat="false" ht="15" hidden="false" customHeight="false" outlineLevel="0" collapsed="false">
      <c r="A88" s="6" t="n">
        <v>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customFormat="false" ht="15" hidden="false" customHeight="false" outlineLevel="0" collapsed="false">
      <c r="A89" s="6" t="n">
        <v>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5" hidden="false" customHeight="false" outlineLevel="0" collapsed="false">
      <c r="A90" s="6" t="n">
        <v>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customFormat="false" ht="15" hidden="false" customHeight="false" outlineLevel="0" collapsed="false">
      <c r="A91" s="6" t="n">
        <v>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customFormat="false" ht="15" hidden="false" customHeight="false" outlineLevel="0" collapsed="false">
      <c r="A92" s="6" t="n">
        <v>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customFormat="false" ht="15" hidden="false" customHeight="false" outlineLevel="0" collapsed="false">
      <c r="A93" s="6" t="n">
        <v>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customFormat="false" ht="15" hidden="false" customHeight="false" outlineLevel="0" collapsed="false">
      <c r="A94" s="6" t="n">
        <v>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customFormat="false" ht="15" hidden="false" customHeight="false" outlineLevel="0" collapsed="false">
      <c r="A95" s="6" t="n">
        <v>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customFormat="false" ht="15" hidden="false" customHeight="false" outlineLevel="0" collapsed="false">
      <c r="A96" s="6" t="n">
        <v>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customFormat="false" ht="15" hidden="false" customHeight="false" outlineLevel="0" collapsed="false">
      <c r="A97" s="6" t="n">
        <v>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5" hidden="false" customHeight="false" outlineLevel="0" collapsed="false">
      <c r="A98" s="6" t="n">
        <v>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customFormat="false" ht="15" hidden="false" customHeight="false" outlineLevel="0" collapsed="false">
      <c r="A99" s="6" t="n">
        <v>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customFormat="false" ht="15" hidden="false" customHeight="false" outlineLevel="0" collapsed="false">
      <c r="A100" s="6" t="n">
        <v>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15" hidden="false" customHeight="false" outlineLevel="0" collapsed="false">
      <c r="A101" s="6" t="n">
        <v>100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</sheetData>
  <dataValidations count="6">
    <dataValidation allowBlank="true" errorStyle="stop" operator="between" showDropDown="false" showErrorMessage="false" showInputMessage="false" sqref="C2:C101" type="list">
      <formula1>"MyFitnessPal,Cal AI,Lose It,Cronometer,Yazio,Noom,HealthifyMe,DietGLP,FitCommit,Other"</formula1>
      <formula2>0</formula2>
    </dataValidation>
    <dataValidation allowBlank="true" errorStyle="stop" operator="between" showDropDown="false" showErrorMessage="false" showInputMessage="false" sqref="D2:D101" type="list">
      <formula1>"App Store,Google Play,Reddit,Trustpilot,Facebook,Twitter/X,Blog,Other"</formula1>
      <formula2>0</formula2>
    </dataValidation>
    <dataValidation allowBlank="true" errorStyle="stop" operator="between" showDropDown="false" showErrorMessage="false" showInputMessage="false" sqref="G2:G101" type="list">
      <formula1>"Ozempic,Wegovy,Mounjaro,Zepbound,Saxenda,Compounded Semaglutide,Compounded Tirzepatide,Generic GLP-1,Not Mentioned"</formula1>
      <formula2>0</formula2>
    </dataValidation>
    <dataValidation allowBlank="true" errorStyle="stop" operator="between" showDropDown="false" showErrorMessage="false" showInputMessage="false" sqref="F2:F101" type="list">
      <formula1>"1,2,3,4,5"</formula1>
      <formula2>0</formula2>
    </dataValidation>
    <dataValidation allowBlank="true" errorStyle="stop" operator="between" showDropDown="false" showErrorMessage="false" showInputMessage="false" sqref="K2:K101" type="list">
      <formula1>"1,2,3,4,5"</formula1>
      <formula2>0</formula2>
    </dataValidation>
    <dataValidation allowBlank="true" errorStyle="stop" operator="between" showDropDown="false" showErrorMessage="false" showInputMessage="false" sqref="L2:L101" type="list">
      <formula1>"Yes,No,Maybe"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22.05" hidden="false" customHeight="false" outlineLevel="0" collapsed="false">
      <c r="B1" s="1" t="s">
        <v>114</v>
      </c>
    </row>
    <row r="2" customFormat="false" ht="15" hidden="false" customHeight="false" outlineLevel="0" collapsed="false">
      <c r="B2" s="2" t="s">
        <v>115</v>
      </c>
    </row>
    <row r="4" customFormat="false" ht="27.75" hidden="false" customHeight="true" outlineLevel="0" collapsed="false">
      <c r="A4" s="5" t="s">
        <v>27</v>
      </c>
      <c r="B4" s="5" t="s">
        <v>34</v>
      </c>
      <c r="C4" s="5" t="s">
        <v>116</v>
      </c>
      <c r="D4" s="5" t="s">
        <v>117</v>
      </c>
      <c r="E4" s="5" t="s">
        <v>118</v>
      </c>
    </row>
    <row r="5" customFormat="false" ht="23.85" hidden="false" customHeight="false" outlineLevel="0" collapsed="false">
      <c r="A5" s="6" t="n">
        <v>1</v>
      </c>
      <c r="B5" s="6" t="s">
        <v>40</v>
      </c>
      <c r="C5" s="6" t="n">
        <f aca="false">COUNTIF(Reviews!H:H, B5)</f>
        <v>1</v>
      </c>
      <c r="D5" s="11" t="n">
        <f aca="false">IFERROR(AVERAGEIF(Reviews!H:H, B5, Reviews!K:K), "")</f>
        <v>5</v>
      </c>
      <c r="E5" s="6" t="s">
        <v>42</v>
      </c>
    </row>
    <row r="6" customFormat="false" ht="15" hidden="false" customHeight="false" outlineLevel="0" collapsed="false">
      <c r="A6" s="6" t="n">
        <v>2</v>
      </c>
      <c r="B6" s="6" t="s">
        <v>44</v>
      </c>
      <c r="C6" s="6" t="n">
        <f aca="false">COUNTIF(Reviews!H:H, B6)</f>
        <v>1</v>
      </c>
      <c r="D6" s="11" t="n">
        <f aca="false">IFERROR(AVERAGEIF(Reviews!H:H, B6, Reviews!K:K), "")</f>
        <v>5</v>
      </c>
      <c r="E6" s="6" t="s">
        <v>45</v>
      </c>
    </row>
    <row r="7" customFormat="false" ht="23.85" hidden="false" customHeight="false" outlineLevel="0" collapsed="false">
      <c r="A7" s="6" t="n">
        <v>3</v>
      </c>
      <c r="B7" s="6" t="s">
        <v>47</v>
      </c>
      <c r="C7" s="6" t="n">
        <f aca="false">COUNTIF(Reviews!H:H, B7)</f>
        <v>1</v>
      </c>
      <c r="D7" s="11" t="n">
        <f aca="false">IFERROR(AVERAGEIF(Reviews!H:H, B7, Reviews!K:K), "")</f>
        <v>4</v>
      </c>
      <c r="E7" s="6" t="s">
        <v>48</v>
      </c>
    </row>
    <row r="8" customFormat="false" ht="23.85" hidden="false" customHeight="false" outlineLevel="0" collapsed="false">
      <c r="A8" s="6" t="n">
        <v>4</v>
      </c>
      <c r="B8" s="6" t="s">
        <v>50</v>
      </c>
      <c r="C8" s="6" t="n">
        <f aca="false">COUNTIF(Reviews!H:H, B8)</f>
        <v>1</v>
      </c>
      <c r="D8" s="11" t="n">
        <f aca="false">IFERROR(AVERAGEIF(Reviews!H:H, B8, Reviews!K:K), "")</f>
        <v>5</v>
      </c>
      <c r="E8" s="6" t="s">
        <v>51</v>
      </c>
    </row>
    <row r="9" customFormat="false" ht="23.85" hidden="false" customHeight="false" outlineLevel="0" collapsed="false">
      <c r="A9" s="6" t="n">
        <v>5</v>
      </c>
      <c r="B9" s="6" t="s">
        <v>53</v>
      </c>
      <c r="C9" s="6" t="n">
        <f aca="false">COUNTIF(Reviews!H:H, B9)</f>
        <v>1</v>
      </c>
      <c r="D9" s="11" t="n">
        <f aca="false">IFERROR(AVERAGEIF(Reviews!H:H, B9, Reviews!K:K), "")</f>
        <v>4</v>
      </c>
      <c r="E9" s="6" t="s">
        <v>54</v>
      </c>
    </row>
    <row r="10" customFormat="false" ht="23.85" hidden="false" customHeight="false" outlineLevel="0" collapsed="false">
      <c r="A10" s="6" t="n">
        <v>6</v>
      </c>
      <c r="B10" s="6" t="s">
        <v>56</v>
      </c>
      <c r="C10" s="6" t="n">
        <f aca="false">COUNTIF(Reviews!H:H, B10)</f>
        <v>1</v>
      </c>
      <c r="D10" s="11" t="n">
        <f aca="false">IFERROR(AVERAGEIF(Reviews!H:H, B10, Reviews!K:K), "")</f>
        <v>4</v>
      </c>
      <c r="E10" s="6" t="s">
        <v>57</v>
      </c>
    </row>
    <row r="11" customFormat="false" ht="23.85" hidden="false" customHeight="false" outlineLevel="0" collapsed="false">
      <c r="A11" s="6" t="n">
        <v>7</v>
      </c>
      <c r="B11" s="6" t="s">
        <v>59</v>
      </c>
      <c r="C11" s="6" t="n">
        <f aca="false">COUNTIF(Reviews!H:H, B11)</f>
        <v>1</v>
      </c>
      <c r="D11" s="11" t="n">
        <f aca="false">IFERROR(AVERAGEIF(Reviews!H:H, B11, Reviews!K:K), "")</f>
        <v>5</v>
      </c>
      <c r="E11" s="6" t="s">
        <v>60</v>
      </c>
    </row>
    <row r="12" customFormat="false" ht="23.85" hidden="false" customHeight="false" outlineLevel="0" collapsed="false">
      <c r="A12" s="6" t="n">
        <v>8</v>
      </c>
      <c r="B12" s="6" t="s">
        <v>62</v>
      </c>
      <c r="C12" s="6" t="n">
        <f aca="false">COUNTIF(Reviews!H:H, B12)</f>
        <v>1</v>
      </c>
      <c r="D12" s="11" t="n">
        <f aca="false">IFERROR(AVERAGEIF(Reviews!H:H, B12, Reviews!K:K), "")</f>
        <v>5</v>
      </c>
      <c r="E12" s="6" t="s">
        <v>63</v>
      </c>
    </row>
    <row r="13" customFormat="false" ht="23.85" hidden="false" customHeight="false" outlineLevel="0" collapsed="false">
      <c r="A13" s="6" t="n">
        <v>9</v>
      </c>
      <c r="B13" s="6" t="s">
        <v>65</v>
      </c>
      <c r="C13" s="6" t="n">
        <f aca="false">COUNTIF(Reviews!H:H, B13)</f>
        <v>1</v>
      </c>
      <c r="D13" s="11" t="n">
        <f aca="false">IFERROR(AVERAGEIF(Reviews!H:H, B13, Reviews!K:K), "")</f>
        <v>4</v>
      </c>
      <c r="E13" s="6" t="s">
        <v>66</v>
      </c>
    </row>
    <row r="14" customFormat="false" ht="15" hidden="false" customHeight="false" outlineLevel="0" collapsed="false">
      <c r="A14" s="6" t="n">
        <v>10</v>
      </c>
      <c r="B14" s="6" t="s">
        <v>68</v>
      </c>
      <c r="C14" s="6" t="n">
        <f aca="false">COUNTIF(Reviews!H:H, B14)</f>
        <v>1</v>
      </c>
      <c r="D14" s="11" t="n">
        <f aca="false">IFERROR(AVERAGEIF(Reviews!H:H, B14, Reviews!K:K), "")</f>
        <v>5</v>
      </c>
      <c r="E14" s="6" t="s">
        <v>69</v>
      </c>
    </row>
    <row r="15" customFormat="false" ht="15" hidden="false" customHeight="false" outlineLevel="0" collapsed="false">
      <c r="A15" s="6" t="n">
        <v>11</v>
      </c>
      <c r="B15" s="6" t="s">
        <v>71</v>
      </c>
      <c r="C15" s="6" t="n">
        <f aca="false">COUNTIF(Reviews!H:H, B15)</f>
        <v>1</v>
      </c>
      <c r="D15" s="11" t="n">
        <f aca="false">IFERROR(AVERAGEIF(Reviews!H:H, B15, Reviews!K:K), "")</f>
        <v>3</v>
      </c>
      <c r="E15" s="6" t="s">
        <v>72</v>
      </c>
    </row>
    <row r="16" customFormat="false" ht="23.85" hidden="false" customHeight="false" outlineLevel="0" collapsed="false">
      <c r="A16" s="6" t="n">
        <v>12</v>
      </c>
      <c r="B16" s="6" t="s">
        <v>73</v>
      </c>
      <c r="C16" s="6" t="n">
        <f aca="false">COUNTIF(Reviews!H:H, B16)</f>
        <v>1</v>
      </c>
      <c r="D16" s="11" t="n">
        <f aca="false">IFERROR(AVERAGEIF(Reviews!H:H, B16, Reviews!K:K), "")</f>
        <v>3</v>
      </c>
      <c r="E16" s="6" t="s">
        <v>74</v>
      </c>
    </row>
    <row r="17" customFormat="false" ht="15" hidden="false" customHeight="false" outlineLevel="0" collapsed="false">
      <c r="A17" s="6" t="n">
        <v>13</v>
      </c>
      <c r="B17" s="6" t="s">
        <v>76</v>
      </c>
      <c r="C17" s="6" t="n">
        <f aca="false">COUNTIF(Reviews!H:H, B17)</f>
        <v>1</v>
      </c>
      <c r="D17" s="11" t="n">
        <f aca="false">IFERROR(AVERAGEIF(Reviews!H:H, B17, Reviews!K:K), "")</f>
        <v>2</v>
      </c>
      <c r="E17" s="6" t="s">
        <v>77</v>
      </c>
    </row>
    <row r="18" customFormat="false" ht="23.85" hidden="false" customHeight="false" outlineLevel="0" collapsed="false">
      <c r="A18" s="6" t="n">
        <v>14</v>
      </c>
      <c r="B18" s="6" t="s">
        <v>79</v>
      </c>
      <c r="C18" s="6" t="n">
        <f aca="false">COUNTIF(Reviews!H:H, B18)</f>
        <v>1</v>
      </c>
      <c r="D18" s="11" t="n">
        <f aca="false">IFERROR(AVERAGEIF(Reviews!H:H, B18, Reviews!K:K), "")</f>
        <v>4</v>
      </c>
      <c r="E18" s="6" t="s">
        <v>80</v>
      </c>
    </row>
    <row r="19" customFormat="false" ht="23.85" hidden="false" customHeight="false" outlineLevel="0" collapsed="false">
      <c r="A19" s="6" t="n">
        <v>15</v>
      </c>
      <c r="B19" s="6" t="s">
        <v>82</v>
      </c>
      <c r="C19" s="6" t="n">
        <f aca="false">COUNTIF(Reviews!H:H, B19)</f>
        <v>1</v>
      </c>
      <c r="D19" s="11" t="n">
        <f aca="false">IFERROR(AVERAGEIF(Reviews!H:H, B19, Reviews!K:K), "")</f>
        <v>3</v>
      </c>
      <c r="E19" s="6" t="s">
        <v>83</v>
      </c>
    </row>
    <row r="20" customFormat="false" ht="23.85" hidden="false" customHeight="false" outlineLevel="0" collapsed="false">
      <c r="A20" s="6" t="n">
        <v>16</v>
      </c>
      <c r="B20" s="6" t="s">
        <v>85</v>
      </c>
      <c r="C20" s="6" t="n">
        <f aca="false">COUNTIF(Reviews!H:H, B20)</f>
        <v>1</v>
      </c>
      <c r="D20" s="11" t="n">
        <f aca="false">IFERROR(AVERAGEIF(Reviews!H:H, B20, Reviews!K:K), "")</f>
        <v>3</v>
      </c>
      <c r="E20" s="6" t="s">
        <v>86</v>
      </c>
    </row>
    <row r="21" customFormat="false" ht="23.85" hidden="false" customHeight="false" outlineLevel="0" collapsed="false">
      <c r="A21" s="6" t="n">
        <v>17</v>
      </c>
      <c r="B21" s="6" t="s">
        <v>87</v>
      </c>
      <c r="C21" s="6" t="n">
        <f aca="false">COUNTIF(Reviews!H:H, B21)</f>
        <v>1</v>
      </c>
      <c r="D21" s="11" t="n">
        <f aca="false">IFERROR(AVERAGEIF(Reviews!H:H, B21, Reviews!K:K), "")</f>
        <v>5</v>
      </c>
      <c r="E21" s="6" t="s">
        <v>88</v>
      </c>
    </row>
    <row r="22" customFormat="false" ht="23.85" hidden="false" customHeight="false" outlineLevel="0" collapsed="false">
      <c r="A22" s="6" t="n">
        <v>18</v>
      </c>
      <c r="B22" s="6" t="s">
        <v>90</v>
      </c>
      <c r="C22" s="6" t="n">
        <f aca="false">COUNTIF(Reviews!H:H, B22)</f>
        <v>1</v>
      </c>
      <c r="D22" s="11" t="n">
        <f aca="false">IFERROR(AVERAGEIF(Reviews!H:H, B22, Reviews!K:K), "")</f>
        <v>5</v>
      </c>
      <c r="E22" s="6" t="s">
        <v>91</v>
      </c>
    </row>
    <row r="23" customFormat="false" ht="23.85" hidden="false" customHeight="false" outlineLevel="0" collapsed="false">
      <c r="A23" s="6" t="n">
        <v>19</v>
      </c>
      <c r="B23" s="6" t="s">
        <v>93</v>
      </c>
      <c r="C23" s="6" t="n">
        <f aca="false">COUNTIF(Reviews!H:H, B23)</f>
        <v>1</v>
      </c>
      <c r="D23" s="11" t="n">
        <f aca="false">IFERROR(AVERAGEIF(Reviews!H:H, B23, Reviews!K:K), "")</f>
        <v>4</v>
      </c>
      <c r="E23" s="6" t="s">
        <v>94</v>
      </c>
    </row>
    <row r="24" customFormat="false" ht="23.85" hidden="false" customHeight="false" outlineLevel="0" collapsed="false">
      <c r="A24" s="6" t="n">
        <v>20</v>
      </c>
      <c r="B24" s="6" t="s">
        <v>96</v>
      </c>
      <c r="C24" s="6" t="n">
        <f aca="false">COUNTIF(Reviews!H:H, B24)</f>
        <v>1</v>
      </c>
      <c r="D24" s="11" t="n">
        <f aca="false">IFERROR(AVERAGEIF(Reviews!H:H, B24, Reviews!K:K), "")</f>
        <v>4</v>
      </c>
      <c r="E24" s="6" t="s">
        <v>97</v>
      </c>
    </row>
    <row r="25" customFormat="false" ht="15" hidden="false" customHeight="false" outlineLevel="0" collapsed="false">
      <c r="A25" s="6" t="n">
        <v>21</v>
      </c>
      <c r="B25" s="6" t="s">
        <v>99</v>
      </c>
      <c r="C25" s="6" t="n">
        <f aca="false">COUNTIF(Reviews!H:H, B25)</f>
        <v>1</v>
      </c>
      <c r="D25" s="11" t="n">
        <f aca="false">IFERROR(AVERAGEIF(Reviews!H:H, B25, Reviews!K:K), "")</f>
        <v>3</v>
      </c>
      <c r="E25" s="6" t="s">
        <v>100</v>
      </c>
    </row>
    <row r="26" customFormat="false" ht="15" hidden="false" customHeight="false" outlineLevel="0" collapsed="false">
      <c r="A26" s="6" t="n">
        <v>22</v>
      </c>
      <c r="B26" s="6" t="s">
        <v>102</v>
      </c>
      <c r="C26" s="6" t="n">
        <f aca="false">COUNTIF(Reviews!H:H, B26)</f>
        <v>1</v>
      </c>
      <c r="D26" s="11" t="n">
        <f aca="false">IFERROR(AVERAGEIF(Reviews!H:H, B26, Reviews!K:K), "")</f>
        <v>3</v>
      </c>
      <c r="E26" s="6" t="s">
        <v>103</v>
      </c>
    </row>
    <row r="27" customFormat="false" ht="23.85" hidden="false" customHeight="false" outlineLevel="0" collapsed="false">
      <c r="A27" s="6" t="n">
        <v>23</v>
      </c>
      <c r="B27" s="6" t="s">
        <v>105</v>
      </c>
      <c r="C27" s="6" t="n">
        <f aca="false">COUNTIF(Reviews!H:H, B27)</f>
        <v>1</v>
      </c>
      <c r="D27" s="11" t="n">
        <f aca="false">IFERROR(AVERAGEIF(Reviews!H:H, B27, Reviews!K:K), "")</f>
        <v>4</v>
      </c>
      <c r="E27" s="6" t="s">
        <v>106</v>
      </c>
    </row>
    <row r="28" customFormat="false" ht="23.85" hidden="false" customHeight="false" outlineLevel="0" collapsed="false">
      <c r="A28" s="6" t="n">
        <v>24</v>
      </c>
      <c r="B28" s="6" t="s">
        <v>108</v>
      </c>
      <c r="C28" s="6" t="n">
        <f aca="false">COUNTIF(Reviews!H:H, B28)</f>
        <v>1</v>
      </c>
      <c r="D28" s="11" t="n">
        <f aca="false">IFERROR(AVERAGEIF(Reviews!H:H, B28, Reviews!K:K), "")</f>
        <v>5</v>
      </c>
      <c r="E28" s="6" t="s">
        <v>109</v>
      </c>
    </row>
    <row r="29" customFormat="false" ht="23.85" hidden="false" customHeight="false" outlineLevel="0" collapsed="false">
      <c r="A29" s="6" t="n">
        <v>25</v>
      </c>
      <c r="B29" s="6" t="s">
        <v>111</v>
      </c>
      <c r="C29" s="6" t="n">
        <f aca="false">COUNTIF(Reviews!H:H, B29)</f>
        <v>1</v>
      </c>
      <c r="D29" s="11" t="n">
        <f aca="false">IFERROR(AVERAGEIF(Reviews!H:H, B29, Reviews!K:K), "")</f>
        <v>5</v>
      </c>
      <c r="E29" s="6" t="s">
        <v>112</v>
      </c>
    </row>
    <row r="31" customFormat="false" ht="15" hidden="false" customHeight="false" outlineLevel="0" collapsed="false">
      <c r="B31" s="12" t="s">
        <v>119</v>
      </c>
      <c r="C31" s="12" t="n">
        <f aca="false">COUNTA(Reviews!I2:I101) - COUNTIF(Reviews!I2:I101, "[PATTERN*")</f>
        <v>0</v>
      </c>
    </row>
    <row r="34" customFormat="false" ht="15" hidden="false" customHeight="false" outlineLevel="0" collapsed="false">
      <c r="B34" s="4" t="s">
        <v>120</v>
      </c>
    </row>
    <row r="35" customFormat="false" ht="15" hidden="false" customHeight="false" outlineLevel="0" collapsed="false">
      <c r="B35" s="13" t="s">
        <v>121</v>
      </c>
    </row>
    <row r="36" customFormat="false" ht="15" hidden="false" customHeight="false" outlineLevel="0" collapsed="false">
      <c r="B36" s="13" t="s">
        <v>122</v>
      </c>
    </row>
    <row r="37" customFormat="false" ht="15" hidden="false" customHeight="false" outlineLevel="0" collapsed="false">
      <c r="B37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2026-05-13T10:33:15Z</dcterms:created>
  <dc:creator>openpyxl</dc:creator>
  <dc:description/>
  <dc:language>en-US</dc:language>
  <cp:lastModifiedBy/>
  <dcterms:modified xsi:type="dcterms:W3CDTF">2026-05-13T10:33:15Z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